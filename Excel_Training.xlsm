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D04805\Desktop\"/>
    </mc:Choice>
  </mc:AlternateContent>
  <bookViews>
    <workbookView xWindow="0" yWindow="0" windowWidth="11490" windowHeight="6750"/>
  </bookViews>
  <sheets>
    <sheet name="Math_Functions" sheetId="1" r:id="rId1"/>
    <sheet name="Using_IF" sheetId="2" r:id="rId2"/>
    <sheet name="Sparklines" sheetId="3" r:id="rId3"/>
    <sheet name="Time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1" i="4" l="1"/>
  <c r="D60" i="4"/>
  <c r="D56" i="4"/>
  <c r="D55" i="4"/>
  <c r="D54" i="4"/>
  <c r="D53" i="4"/>
  <c r="E40" i="4"/>
  <c r="F40" i="4" s="1"/>
  <c r="D40" i="4"/>
  <c r="D39" i="4"/>
  <c r="E39" i="4"/>
  <c r="C39" i="4"/>
  <c r="D34" i="4"/>
  <c r="C34" i="4" s="1"/>
  <c r="C35" i="4"/>
  <c r="D3" i="4"/>
  <c r="D5" i="4"/>
  <c r="F39" i="4" l="1"/>
  <c r="G40" i="4"/>
  <c r="E16" i="2"/>
  <c r="E15" i="2"/>
  <c r="E7" i="2"/>
  <c r="E6" i="2"/>
  <c r="E5" i="2"/>
  <c r="E4" i="2"/>
  <c r="E3" i="2"/>
  <c r="C17" i="1"/>
  <c r="C15" i="1"/>
  <c r="C14" i="1"/>
  <c r="C13" i="1"/>
  <c r="C12" i="1"/>
  <c r="C11" i="1"/>
  <c r="C16" i="1"/>
  <c r="H40" i="4" l="1"/>
  <c r="G39" i="4"/>
  <c r="H39" i="4" l="1"/>
  <c r="I40" i="4"/>
  <c r="J40" i="4" l="1"/>
  <c r="I39" i="4"/>
  <c r="J39" i="4" l="1"/>
  <c r="K40" i="4"/>
  <c r="L40" i="4" l="1"/>
  <c r="K39" i="4"/>
  <c r="L39" i="4" l="1"/>
  <c r="M40" i="4"/>
  <c r="N40" i="4" l="1"/>
  <c r="M39" i="4"/>
  <c r="N39" i="4" l="1"/>
  <c r="O40" i="4"/>
  <c r="P40" i="4" l="1"/>
  <c r="O39" i="4"/>
  <c r="P39" i="4" l="1"/>
  <c r="Q40" i="4"/>
  <c r="Q39" i="4" s="1"/>
</calcChain>
</file>

<file path=xl/sharedStrings.xml><?xml version="1.0" encoding="utf-8"?>
<sst xmlns="http://schemas.openxmlformats.org/spreadsheetml/2006/main" count="50" uniqueCount="49">
  <si>
    <t>Sum</t>
  </si>
  <si>
    <t>Count</t>
  </si>
  <si>
    <t>Min</t>
  </si>
  <si>
    <t>Max</t>
  </si>
  <si>
    <t>Average</t>
  </si>
  <si>
    <t>Mode</t>
  </si>
  <si>
    <t>Median</t>
  </si>
  <si>
    <t>Using "IF" with numbers</t>
  </si>
  <si>
    <t>Using "IF" with text</t>
  </si>
  <si>
    <t>Middle number- when the given numbers are arranged in ascending order</t>
  </si>
  <si>
    <t>Sam</t>
  </si>
  <si>
    <t>Text Comparison</t>
  </si>
  <si>
    <t>MAA</t>
  </si>
  <si>
    <t>MS</t>
  </si>
  <si>
    <t>Boolean operators</t>
  </si>
  <si>
    <t>AND</t>
  </si>
  <si>
    <t>OR</t>
  </si>
  <si>
    <t>NOT</t>
  </si>
  <si>
    <t>Number days between dates</t>
  </si>
  <si>
    <t>NOW() function</t>
  </si>
  <si>
    <t>Formatting cells for dates</t>
  </si>
  <si>
    <t>Formatting cells for Time</t>
  </si>
  <si>
    <t>Day of the date</t>
  </si>
  <si>
    <t>Adding or subtracting from now() will change the time by number of days</t>
  </si>
  <si>
    <t>Creating timelines in tables</t>
  </si>
  <si>
    <t>Activity1</t>
  </si>
  <si>
    <t>Activity2</t>
  </si>
  <si>
    <t>Activity3</t>
  </si>
  <si>
    <t>Activity4</t>
  </si>
  <si>
    <t>Activity5</t>
  </si>
  <si>
    <t>Activity6</t>
  </si>
  <si>
    <t>Activity7</t>
  </si>
  <si>
    <t xml:space="preserve">                           Timeline
Activity</t>
  </si>
  <si>
    <t>Day</t>
  </si>
  <si>
    <t>DATEDIF function - Hidden functions in Excel</t>
  </si>
  <si>
    <t>No. of months between dates</t>
  </si>
  <si>
    <t>No. of days between dates</t>
  </si>
  <si>
    <t>No. of years</t>
  </si>
  <si>
    <t>Ignore years - get dates</t>
  </si>
  <si>
    <t>because it takes 2017-2015 = 2 as answer</t>
  </si>
  <si>
    <t>Pitfalls</t>
  </si>
  <si>
    <t>Years function</t>
  </si>
  <si>
    <t>DATEDIF function</t>
  </si>
  <si>
    <t>because it takes only the complete number of years</t>
  </si>
  <si>
    <t>Mod</t>
  </si>
  <si>
    <t>Int</t>
  </si>
  <si>
    <t>Round</t>
  </si>
  <si>
    <t>Roundup</t>
  </si>
  <si>
    <t>Rounddown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</si>
</sst>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[$-409]h:mm\ AM/PM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auto="1"/>
      </diagonal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15" fontId="0" fillId="0" borderId="0" xfId="0" applyNumberFormat="1"/>
    <xf numFmtId="166" fontId="0" fillId="0" borderId="0" xfId="0" applyNumberFormat="1"/>
    <xf numFmtId="14" fontId="0" fillId="0" borderId="0" xfId="0" applyNumberFormat="1"/>
    <xf numFmtId="0" fontId="0" fillId="0" borderId="1" xfId="0" applyBorder="1" applyAlignment="1">
      <alignment vertical="top" wrapText="1"/>
    </xf>
    <xf numFmtId="15" fontId="0" fillId="0" borderId="0" xfId="0" applyNumberFormat="1" applyAlignment="1">
      <alignment textRotation="45"/>
    </xf>
    <xf numFmtId="0" fontId="0" fillId="2" borderId="0" xfId="0" applyFill="1"/>
    <xf numFmtId="15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7</xdr:row>
      <xdr:rowOff>76200</xdr:rowOff>
    </xdr:from>
    <xdr:to>
      <xdr:col>6</xdr:col>
      <xdr:colOff>285102</xdr:colOff>
      <xdr:row>31</xdr:row>
      <xdr:rowOff>66105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1409700"/>
          <a:ext cx="5180952" cy="4561905"/>
        </a:xfrm>
        <a:prstGeom prst="rect">
          <a:avLst/>
        </a:prstGeom>
      </xdr:spPr>
    </xdr:pic>
    <xdr:clientData/>
  </xdr:twoCellAnchor>
  <xdr:twoCellAnchor editAs="oneCell">
    <xdr:from>
      <xdr:col>8</xdr:col>
      <xdr:colOff>600075</xdr:colOff>
      <xdr:row>7</xdr:row>
      <xdr:rowOff>66675</xdr:rowOff>
    </xdr:from>
    <xdr:to>
      <xdr:col>16</xdr:col>
      <xdr:colOff>513704</xdr:colOff>
      <xdr:row>30</xdr:row>
      <xdr:rowOff>189937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72150" y="1400175"/>
          <a:ext cx="5171429" cy="45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2"/>
  <sheetViews>
    <sheetView tabSelected="1" workbookViewId="0">
      <selection activeCell="B23" sqref="B23"/>
    </sheetView>
  </sheetViews>
  <sheetFormatPr defaultRowHeight="15" x14ac:dyDescent="0.25"/>
  <sheetData>
    <row r="2" spans="2:3" x14ac:dyDescent="0.25">
      <c r="B2">
        <v>1</v>
      </c>
      <c r="C2">
        <v>15</v>
      </c>
    </row>
    <row r="3" spans="2:3" x14ac:dyDescent="0.25">
      <c r="B3">
        <v>2</v>
      </c>
      <c r="C3">
        <v>84</v>
      </c>
    </row>
    <row r="4" spans="2:3" x14ac:dyDescent="0.25">
      <c r="B4">
        <v>3</v>
      </c>
      <c r="C4">
        <v>71</v>
      </c>
    </row>
    <row r="5" spans="2:3" x14ac:dyDescent="0.25">
      <c r="B5">
        <v>4</v>
      </c>
      <c r="C5">
        <v>40</v>
      </c>
    </row>
    <row r="6" spans="2:3" x14ac:dyDescent="0.25">
      <c r="B6">
        <v>5</v>
      </c>
      <c r="C6">
        <v>86</v>
      </c>
    </row>
    <row r="7" spans="2:3" x14ac:dyDescent="0.25">
      <c r="B7">
        <v>6</v>
      </c>
      <c r="C7">
        <v>15</v>
      </c>
    </row>
    <row r="8" spans="2:3" x14ac:dyDescent="0.25">
      <c r="B8">
        <v>7</v>
      </c>
      <c r="C8">
        <v>84</v>
      </c>
    </row>
    <row r="9" spans="2:3" x14ac:dyDescent="0.25">
      <c r="B9">
        <v>8</v>
      </c>
      <c r="C9">
        <v>72</v>
      </c>
    </row>
    <row r="11" spans="2:3" x14ac:dyDescent="0.25">
      <c r="B11" t="s">
        <v>0</v>
      </c>
      <c r="C11">
        <f>SUM(C2:C9)</f>
        <v>467</v>
      </c>
    </row>
    <row r="12" spans="2:3" x14ac:dyDescent="0.25">
      <c r="B12" t="s">
        <v>1</v>
      </c>
      <c r="C12">
        <f>COUNT(C2:C9)</f>
        <v>8</v>
      </c>
    </row>
    <row r="13" spans="2:3" x14ac:dyDescent="0.25">
      <c r="B13" t="s">
        <v>2</v>
      </c>
      <c r="C13">
        <f>MIN(C2:C9)</f>
        <v>15</v>
      </c>
    </row>
    <row r="14" spans="2:3" x14ac:dyDescent="0.25">
      <c r="B14" t="s">
        <v>3</v>
      </c>
      <c r="C14">
        <f>MAX(C2:C9)</f>
        <v>86</v>
      </c>
    </row>
    <row r="15" spans="2:3" x14ac:dyDescent="0.25">
      <c r="B15" t="s">
        <v>4</v>
      </c>
      <c r="C15">
        <f>AVERAGE(C2:C9)</f>
        <v>58.375</v>
      </c>
    </row>
    <row r="16" spans="2:3" x14ac:dyDescent="0.25">
      <c r="B16" t="s">
        <v>5</v>
      </c>
      <c r="C16">
        <f>_xlfn.MODE.SNGL(C2:C9)</f>
        <v>15</v>
      </c>
    </row>
    <row r="17" spans="2:5" x14ac:dyDescent="0.25">
      <c r="B17" t="s">
        <v>6</v>
      </c>
      <c r="C17">
        <f>MEDIAN(C2:C9)</f>
        <v>71.5</v>
      </c>
      <c r="E17" t="s">
        <v>9</v>
      </c>
    </row>
    <row r="18" spans="2:5" x14ac:dyDescent="0.25">
      <c r="B18" t="s">
        <v>44</v>
      </c>
    </row>
    <row r="19" spans="2:5" x14ac:dyDescent="0.25">
      <c r="B19" t="s">
        <v>45</v>
      </c>
    </row>
    <row r="20" spans="2:5" x14ac:dyDescent="0.25">
      <c r="B20" t="s">
        <v>46</v>
      </c>
    </row>
    <row r="21" spans="2:5" x14ac:dyDescent="0.25">
      <c r="B21" t="s">
        <v>47</v>
      </c>
    </row>
    <row r="22" spans="2:5" x14ac:dyDescent="0.25">
      <c r="B22" t="s">
        <v>48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C3" sqref="C3:C10"/>
    </sheetView>
  </sheetViews>
  <sheetFormatPr defaultRowHeight="15" x14ac:dyDescent="0.25"/>
  <cols>
    <col min="5" max="5" width="13.5703125" bestFit="1" customWidth="1"/>
  </cols>
  <sheetData>
    <row r="2" spans="1:7" x14ac:dyDescent="0.25">
      <c r="A2" t="s">
        <v>7</v>
      </c>
      <c r="G2" t="s">
        <v>14</v>
      </c>
    </row>
    <row r="3" spans="1:7" x14ac:dyDescent="0.25">
      <c r="C3">
        <v>15</v>
      </c>
      <c r="E3" t="str">
        <f>IF(C3=C8,"Equal","Not Equal")</f>
        <v>Equal</v>
      </c>
      <c r="G3" t="s">
        <v>15</v>
      </c>
    </row>
    <row r="4" spans="1:7" x14ac:dyDescent="0.25">
      <c r="C4">
        <v>84</v>
      </c>
      <c r="E4" t="str">
        <f>IF(C4&gt;C3,"Greater","Smaller/Equal")</f>
        <v>Greater</v>
      </c>
      <c r="G4" t="s">
        <v>16</v>
      </c>
    </row>
    <row r="5" spans="1:7" x14ac:dyDescent="0.25">
      <c r="C5">
        <v>71</v>
      </c>
      <c r="E5" t="str">
        <f>IF(C5&lt;C4,"Smaller","Greater/Equal")</f>
        <v>Smaller</v>
      </c>
      <c r="G5" t="s">
        <v>17</v>
      </c>
    </row>
    <row r="6" spans="1:7" x14ac:dyDescent="0.25">
      <c r="C6">
        <v>40</v>
      </c>
      <c r="E6" t="str">
        <f>IF(C6&gt;=C8,"Greater/Equal","Smaller")</f>
        <v>Greater/Equal</v>
      </c>
    </row>
    <row r="7" spans="1:7" x14ac:dyDescent="0.25">
      <c r="C7">
        <v>86</v>
      </c>
      <c r="E7" t="str">
        <f>IF(C7&lt;&gt;C8,"Not Equal","Equal")</f>
        <v>Not Equal</v>
      </c>
    </row>
    <row r="8" spans="1:7" x14ac:dyDescent="0.25">
      <c r="C8">
        <v>15</v>
      </c>
    </row>
    <row r="9" spans="1:7" x14ac:dyDescent="0.25">
      <c r="C9">
        <v>84</v>
      </c>
    </row>
    <row r="10" spans="1:7" x14ac:dyDescent="0.25">
      <c r="C10">
        <v>72</v>
      </c>
    </row>
    <row r="14" spans="1:7" x14ac:dyDescent="0.25">
      <c r="A14" t="s">
        <v>8</v>
      </c>
    </row>
    <row r="15" spans="1:7" x14ac:dyDescent="0.25">
      <c r="C15" t="s">
        <v>10</v>
      </c>
      <c r="E15" t="str">
        <f>IF(C15=C18,"Same text","Different text")</f>
        <v>Same text</v>
      </c>
    </row>
    <row r="16" spans="1:7" x14ac:dyDescent="0.25">
      <c r="C16" t="s">
        <v>12</v>
      </c>
      <c r="E16" t="str">
        <f>IF(C16&gt;C17,"Greater","Smaller")</f>
        <v>Smaller</v>
      </c>
      <c r="G16" t="s">
        <v>11</v>
      </c>
    </row>
    <row r="17" spans="3:3" x14ac:dyDescent="0.25">
      <c r="C17" t="s">
        <v>13</v>
      </c>
    </row>
    <row r="18" spans="3:3" x14ac:dyDescent="0.25">
      <c r="C18" t="s">
        <v>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L3"/>
  <sheetViews>
    <sheetView workbookViewId="0">
      <selection activeCell="I4" sqref="I4"/>
    </sheetView>
  </sheetViews>
  <sheetFormatPr defaultRowHeight="15" x14ac:dyDescent="0.25"/>
  <cols>
    <col min="13" max="13" width="36.85546875" customWidth="1"/>
  </cols>
  <sheetData>
    <row r="3" spans="4:12" ht="60.75" customHeight="1" x14ac:dyDescent="0.25">
      <c r="D3">
        <v>25</v>
      </c>
      <c r="E3">
        <v>84</v>
      </c>
      <c r="F3">
        <v>71</v>
      </c>
      <c r="G3">
        <v>40</v>
      </c>
      <c r="H3">
        <v>86</v>
      </c>
      <c r="I3">
        <v>-50</v>
      </c>
      <c r="J3">
        <v>15</v>
      </c>
      <c r="K3">
        <v>84</v>
      </c>
      <c r="L3">
        <v>72</v>
      </c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Sparklines!D3:L3</xm:f>
              <xm:sqref>M3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1"/>
  <sheetViews>
    <sheetView topLeftCell="A60" workbookViewId="0">
      <selection activeCell="I83" sqref="I83"/>
    </sheetView>
  </sheetViews>
  <sheetFormatPr defaultRowHeight="15" x14ac:dyDescent="0.25"/>
  <cols>
    <col min="2" max="2" width="20.5703125" customWidth="1"/>
    <col min="3" max="3" width="10" bestFit="1" customWidth="1"/>
    <col min="4" max="4" width="13.5703125" customWidth="1"/>
    <col min="5" max="5" width="10" bestFit="1" customWidth="1"/>
    <col min="6" max="6" width="11.140625" customWidth="1"/>
    <col min="7" max="9" width="10" bestFit="1" customWidth="1"/>
    <col min="10" max="10" width="10.28515625" customWidth="1"/>
    <col min="11" max="11" width="10" bestFit="1" customWidth="1"/>
    <col min="12" max="17" width="9.7109375" bestFit="1" customWidth="1"/>
  </cols>
  <sheetData>
    <row r="1" spans="1:13" x14ac:dyDescent="0.25">
      <c r="A1" t="s">
        <v>18</v>
      </c>
      <c r="D1" s="2">
        <v>43063</v>
      </c>
    </row>
    <row r="2" spans="1:13" x14ac:dyDescent="0.25">
      <c r="D2" s="2">
        <v>43069</v>
      </c>
    </row>
    <row r="3" spans="1:13" x14ac:dyDescent="0.25">
      <c r="D3">
        <f>D2-D1</f>
        <v>6</v>
      </c>
    </row>
    <row r="5" spans="1:13" x14ac:dyDescent="0.25">
      <c r="A5" t="s">
        <v>19</v>
      </c>
      <c r="D5" s="1">
        <f ca="1">NOW()</f>
        <v>43062.818274537036</v>
      </c>
      <c r="F5" t="s">
        <v>23</v>
      </c>
    </row>
    <row r="7" spans="1:13" x14ac:dyDescent="0.25">
      <c r="A7" t="s">
        <v>20</v>
      </c>
      <c r="J7" t="s">
        <v>21</v>
      </c>
      <c r="M7" s="3"/>
    </row>
    <row r="34" spans="1:17" x14ac:dyDescent="0.25">
      <c r="A34" t="s">
        <v>22</v>
      </c>
      <c r="C34" t="str">
        <f ca="1">TEXT(D34,"ddd")</f>
        <v>Wed</v>
      </c>
      <c r="D34" s="1">
        <f ca="1">NOW()-1</f>
        <v>43061.818274537036</v>
      </c>
    </row>
    <row r="35" spans="1:17" x14ac:dyDescent="0.25">
      <c r="C35" t="str">
        <f>TEXT(D35,"ddd")</f>
        <v>Fri</v>
      </c>
      <c r="D35" s="4">
        <v>43063</v>
      </c>
    </row>
    <row r="38" spans="1:17" x14ac:dyDescent="0.25">
      <c r="A38" t="s">
        <v>24</v>
      </c>
    </row>
    <row r="39" spans="1:17" x14ac:dyDescent="0.25">
      <c r="B39" t="s">
        <v>33</v>
      </c>
      <c r="C39" t="str">
        <f>TEXT(C40,"ddd")</f>
        <v>Wed</v>
      </c>
      <c r="D39" t="str">
        <f t="shared" ref="D39:Q39" si="0">TEXT(D40,"ddd")</f>
        <v>Thu</v>
      </c>
      <c r="E39" t="str">
        <f t="shared" si="0"/>
        <v>Fri</v>
      </c>
      <c r="F39" t="str">
        <f t="shared" si="0"/>
        <v>Mon</v>
      </c>
      <c r="G39" t="str">
        <f t="shared" si="0"/>
        <v>Tue</v>
      </c>
      <c r="H39" t="str">
        <f t="shared" si="0"/>
        <v>Wed</v>
      </c>
      <c r="I39" t="str">
        <f t="shared" si="0"/>
        <v>Thu</v>
      </c>
      <c r="J39" t="str">
        <f t="shared" si="0"/>
        <v>Fri</v>
      </c>
      <c r="K39" t="str">
        <f t="shared" si="0"/>
        <v>Mon</v>
      </c>
      <c r="L39" t="str">
        <f t="shared" si="0"/>
        <v>Tue</v>
      </c>
      <c r="M39" t="str">
        <f t="shared" si="0"/>
        <v>Wed</v>
      </c>
      <c r="N39" t="str">
        <f t="shared" si="0"/>
        <v>Thu</v>
      </c>
      <c r="O39" t="str">
        <f t="shared" si="0"/>
        <v>Fri</v>
      </c>
      <c r="P39" t="str">
        <f t="shared" si="0"/>
        <v>Mon</v>
      </c>
      <c r="Q39" t="str">
        <f t="shared" si="0"/>
        <v>Tue</v>
      </c>
    </row>
    <row r="40" spans="1:17" ht="47.25" customHeight="1" x14ac:dyDescent="0.25">
      <c r="B40" s="5" t="s">
        <v>32</v>
      </c>
      <c r="C40" s="6">
        <v>43061</v>
      </c>
      <c r="D40" s="6">
        <f>IF((TEXT(C40,"ddd"))&lt;&gt;"Fri",C40+1,C40+3)</f>
        <v>43062</v>
      </c>
      <c r="E40" s="6">
        <f t="shared" ref="E40:Q40" si="1">IF((TEXT(D40,"ddd"))&lt;&gt;"Fri",D40+1,D40+3)</f>
        <v>43063</v>
      </c>
      <c r="F40" s="6">
        <f t="shared" si="1"/>
        <v>43066</v>
      </c>
      <c r="G40" s="6">
        <f t="shared" si="1"/>
        <v>43067</v>
      </c>
      <c r="H40" s="6">
        <f t="shared" si="1"/>
        <v>43068</v>
      </c>
      <c r="I40" s="6">
        <f t="shared" si="1"/>
        <v>43069</v>
      </c>
      <c r="J40" s="6">
        <f t="shared" si="1"/>
        <v>43070</v>
      </c>
      <c r="K40" s="6">
        <f t="shared" si="1"/>
        <v>43073</v>
      </c>
      <c r="L40" s="6">
        <f t="shared" si="1"/>
        <v>43074</v>
      </c>
      <c r="M40" s="6">
        <f t="shared" si="1"/>
        <v>43075</v>
      </c>
      <c r="N40" s="6">
        <f t="shared" si="1"/>
        <v>43076</v>
      </c>
      <c r="O40" s="6">
        <f t="shared" si="1"/>
        <v>43077</v>
      </c>
      <c r="P40" s="6">
        <f t="shared" si="1"/>
        <v>43080</v>
      </c>
      <c r="Q40" s="6">
        <f t="shared" si="1"/>
        <v>43081</v>
      </c>
    </row>
    <row r="41" spans="1:17" x14ac:dyDescent="0.25">
      <c r="B41" t="s">
        <v>25</v>
      </c>
      <c r="C41" s="7"/>
      <c r="D41" s="8"/>
      <c r="E41" s="8"/>
      <c r="F41" s="2"/>
      <c r="G41" s="2"/>
      <c r="H41" s="2"/>
    </row>
    <row r="42" spans="1:17" x14ac:dyDescent="0.25">
      <c r="B42" t="s">
        <v>26</v>
      </c>
      <c r="D42" s="7"/>
      <c r="E42" s="7"/>
      <c r="F42" s="7"/>
      <c r="G42" s="7"/>
    </row>
    <row r="43" spans="1:17" x14ac:dyDescent="0.25">
      <c r="B43" t="s">
        <v>27</v>
      </c>
      <c r="H43" s="7"/>
    </row>
    <row r="44" spans="1:17" x14ac:dyDescent="0.25">
      <c r="B44" t="s">
        <v>28</v>
      </c>
      <c r="D44" s="7"/>
      <c r="E44" s="7"/>
    </row>
    <row r="45" spans="1:17" x14ac:dyDescent="0.25">
      <c r="B45" t="s">
        <v>29</v>
      </c>
      <c r="I45" s="7"/>
      <c r="J45" s="7"/>
      <c r="K45" s="7"/>
      <c r="L45" s="7"/>
      <c r="M45" s="7"/>
    </row>
    <row r="46" spans="1:17" x14ac:dyDescent="0.25">
      <c r="B46" t="s">
        <v>30</v>
      </c>
      <c r="J46" s="7"/>
      <c r="K46" s="7"/>
      <c r="L46" s="7"/>
      <c r="M46" s="7"/>
      <c r="N46" s="7"/>
      <c r="O46" s="7"/>
      <c r="P46" s="7"/>
      <c r="Q46" s="7"/>
    </row>
    <row r="47" spans="1:17" x14ac:dyDescent="0.25">
      <c r="B47" t="s">
        <v>31</v>
      </c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50" spans="1:5" x14ac:dyDescent="0.25">
      <c r="A50" t="s">
        <v>34</v>
      </c>
    </row>
    <row r="51" spans="1:5" x14ac:dyDescent="0.25">
      <c r="D51" s="4">
        <v>42698</v>
      </c>
    </row>
    <row r="52" spans="1:5" x14ac:dyDescent="0.25">
      <c r="D52" s="4">
        <v>43063</v>
      </c>
    </row>
    <row r="53" spans="1:5" x14ac:dyDescent="0.25">
      <c r="B53" t="s">
        <v>35</v>
      </c>
      <c r="D53">
        <f>DATEDIF(D51,D52,"m")</f>
        <v>12</v>
      </c>
    </row>
    <row r="54" spans="1:5" x14ac:dyDescent="0.25">
      <c r="B54" t="s">
        <v>36</v>
      </c>
      <c r="D54">
        <f>DATEDIF(D51,D52,"d")</f>
        <v>365</v>
      </c>
    </row>
    <row r="55" spans="1:5" x14ac:dyDescent="0.25">
      <c r="B55" t="s">
        <v>37</v>
      </c>
      <c r="D55">
        <f>DATEDIF(D51,D52,"y")</f>
        <v>1</v>
      </c>
    </row>
    <row r="56" spans="1:5" x14ac:dyDescent="0.25">
      <c r="B56" t="s">
        <v>38</v>
      </c>
      <c r="D56">
        <f>DATEDIF(D51,D52,"yd")</f>
        <v>0</v>
      </c>
    </row>
    <row r="58" spans="1:5" x14ac:dyDescent="0.25">
      <c r="D58" s="4">
        <v>42332</v>
      </c>
    </row>
    <row r="59" spans="1:5" x14ac:dyDescent="0.25">
      <c r="D59" s="4">
        <v>42758</v>
      </c>
    </row>
    <row r="60" spans="1:5" x14ac:dyDescent="0.25">
      <c r="A60" t="s">
        <v>40</v>
      </c>
      <c r="B60" t="s">
        <v>42</v>
      </c>
      <c r="D60">
        <f>DATEDIF(D58,D59,"y")</f>
        <v>1</v>
      </c>
      <c r="E60" t="s">
        <v>43</v>
      </c>
    </row>
    <row r="61" spans="1:5" x14ac:dyDescent="0.25">
      <c r="B61" t="s">
        <v>41</v>
      </c>
      <c r="D61">
        <f>YEAR(D59)-YEAR(D58)</f>
        <v>2</v>
      </c>
      <c r="E61" t="s">
        <v>39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Math_Functions</vt:lpstr>
      <vt:lpstr>Using_IF</vt:lpstr>
      <vt:lpstr>Sparklines</vt:lpstr>
      <vt:lpstr>Time</vt:lpstr>
    </vt:vector>
  </TitlesOfParts>
  <Company>The Dow Chemical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Rajaram, Prasanna (P)</dc:creator>
  <cp:lastModifiedBy>Rajaram, Prasanna (P)</cp:lastModifiedBy>
  <dcterms:created xsi:type="dcterms:W3CDTF">2017-11-23T12:21:12Z</dcterms:created>
  <dcterms:modified xsi:type="dcterms:W3CDTF">2017-11-23T14:08:19Z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_Steward">
    <vt:lpwstr>Rajaram P nd04805</vt:lpwstr>
  </property>
  <property fmtid="{D5CDD505-2E9C-101B-9397-08002B2CF9AE}" pid="3" name="Update_Footer">
    <vt:lpwstr>No</vt:lpwstr>
  </property>
  <property fmtid="{D5CDD505-2E9C-101B-9397-08002B2CF9AE}" pid="4" name="Radio_Button">
    <vt:lpwstr>RadioButton1</vt:lpwstr>
  </property>
  <property fmtid="{D5CDD505-2E9C-101B-9397-08002B2CF9AE}" pid="5" name="Information_Classification">
    <vt:lpwstr>NONE</vt:lpwstr>
  </property>
  <property fmtid="{D5CDD505-2E9C-101B-9397-08002B2CF9AE}" pid="6" name="Record_Title_ID">
    <vt:lpwstr>72</vt:lpwstr>
  </property>
  <property fmtid="{D5CDD505-2E9C-101B-9397-08002B2CF9AE}" pid="7" name="Initial_Creation_Date">
    <vt:filetime>2017-11-23T12:21:11Z</vt:filetime>
  </property>
  <property fmtid="{D5CDD505-2E9C-101B-9397-08002B2CF9AE}" pid="8" name="Retention_Period_Start_Date">
    <vt:filetime>2017-11-23T14:08:13Z</vt:filetime>
  </property>
  <property fmtid="{D5CDD505-2E9C-101B-9397-08002B2CF9AE}" pid="9" name="Last_Reviewed_Date">
    <vt:lpwstr/>
  </property>
  <property fmtid="{D5CDD505-2E9C-101B-9397-08002B2CF9AE}" pid="10" name="Retention_Review_Frequency">
    <vt:lpwstr/>
  </property>
</Properties>
</file>